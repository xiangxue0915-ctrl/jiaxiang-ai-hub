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activeTab="1"/>
  </bookViews>
  <sheets>
    <sheet name="网络攻防训练平台" sheetId="4" r:id="rId1"/>
    <sheet name="人工智能实训教育平台" sheetId="2" r:id="rId2"/>
    <sheet name="智能体实训平台"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4" l="1"/>
  <c r="G3" i="4"/>
  <c r="G2" i="4"/>
  <c r="G5" i="4" l="1"/>
  <c r="G9" i="3"/>
  <c r="G1048576" i="3" s="1"/>
  <c r="G3" i="2" l="1"/>
  <c r="G2" i="2" l="1"/>
  <c r="G5" i="2" l="1"/>
  <c r="G4" i="2" l="1"/>
  <c r="G6" i="2" l="1"/>
</calcChain>
</file>

<file path=xl/sharedStrings.xml><?xml version="1.0" encoding="utf-8"?>
<sst xmlns="http://schemas.openxmlformats.org/spreadsheetml/2006/main" count="80" uniqueCount="54">
  <si>
    <t>产品名称</t>
    <phoneticPr fontId="1" type="noConversion"/>
  </si>
  <si>
    <t>属性</t>
    <phoneticPr fontId="1" type="noConversion"/>
  </si>
  <si>
    <t>软件</t>
    <phoneticPr fontId="1" type="noConversion"/>
  </si>
  <si>
    <t>规格型号描述</t>
    <phoneticPr fontId="1" type="noConversion"/>
  </si>
  <si>
    <t>单位</t>
    <phoneticPr fontId="1" type="noConversion"/>
  </si>
  <si>
    <t>台</t>
    <phoneticPr fontId="1" type="noConversion"/>
  </si>
  <si>
    <t>套</t>
    <phoneticPr fontId="1" type="noConversion"/>
  </si>
  <si>
    <t>数量</t>
    <phoneticPr fontId="1" type="noConversion"/>
  </si>
  <si>
    <t>单价</t>
    <phoneticPr fontId="1" type="noConversion"/>
  </si>
  <si>
    <t>总价</t>
    <phoneticPr fontId="1" type="noConversion"/>
  </si>
  <si>
    <t>360人工智能实训教育平台V2.0-系统主机
规格：2U机架式通用机器
CPU：2颗Intel 至强CPU 4310，CPU核数总和不少于24核
内存：128G(32G*4)最大支持32个内存插槽；
硬盘：4*1.92T 2.5寸 SATA SSD
RAID卡：LSI MegaRAID SAS 9361 8i 2G
USB：4个USB（前置2个USB,后置2个USB）
管理口：1*IPMI口
网口：板载2*GE电口
电源：配置800W 1+1冗余电源/CRPS模块</t>
    <phoneticPr fontId="1" type="noConversion"/>
  </si>
  <si>
    <t>1、提供用户访问后台系统资源的接口，包括资源统计、用户管理、AI实训管理、AI数据集、AI项目、资源管理、运维管理、系统管理等功能。
2、系统集成Jupyter交互式开发、Tensorboard可视化监控及GPU调度技术。动态调度管理模块支持KVM、Docker、SDN等技术，支持实时检测虚拟资源的状态，支持动态分配GPU算力，提供对集群设备的资源使用情况的监控和调用。
3、负责与管理模块之间的信息进行通信，与计算集群实时共享虚拟资源，能够实时监测本节点虚拟实例状态。
4、内置资源动态调配机制，支持虚拟机、容器、虚拟化网络、GPU资源的的动态调度轮询算法，支持最优算法测算及选择。
5、支持闲置资源的释放，能够实时动态释放断开连接的虚拟机、容器、虚拟网络所占用的资源。
6、平台资源统计展示，包括AI实训资源统计、场景统计、靶机统计、磁盘使用等。
7、 统计分析：包含课程统计、考核统计、教学统计、班级统计功能。教学统计提供教学计划任务下学生提交课后习题的教师打分和评价功能。
8、AI课程提供AI核心教学资源，包含理论课时和实战课时。根据课时教学讲义、学习环境、实验介绍、指导视频、课后练习等内容；AI数据集提供项目及课程需要的数据内容。AI项目提供实战项目开发的一站式全流程。
9、提供覆盖机器学习、深度学习、计算机视觉、自然语言处理等方向的完整课程体系，每课时配置Jupyter Notebook编程环境的实验场景。
10、职业路径：提供选择平台内的多门课程组成一个新的职业路径训练方向供学生进行按专业规划推荐进行学习。
11、信息基础课程资源包：包括Python编程技术、Python编程从入门到实践、PHP编程基础、数据库系统概论、操作系统基础、Windows操作系统安全、Linux操作系统安全、Cisco路由交换；
12、AI通识课程资源包：跟XX学DeepSeek、看得见摸得着用的人的AI必修课、AI职场36计；
13、AI基础课程资源包：人工智能导论、随机过程、算法设计与分析、大数据处理技术；
14、AI算法课程资源包：机器学习、深度学习、强化学习、算法博弈论；
15、AI技术应用课程资源包：自然语言处理、计算机视觉、智能语音技术、计算机图形学、机器人学、数据挖掘、大数据可视化；
16、AI前沿技术课程资源包：人工智能前沿技术、大模型：技术创新、商业应用与产业变革。</t>
    <phoneticPr fontId="1" type="noConversion"/>
  </si>
  <si>
    <t>性能授权</t>
    <phoneticPr fontId="1" type="noConversion"/>
  </si>
  <si>
    <t>360人工智能实训教育平台</t>
    <phoneticPr fontId="1" type="noConversion"/>
  </si>
  <si>
    <t>套</t>
    <phoneticPr fontId="1" type="noConversion"/>
  </si>
  <si>
    <t>管理服务器硬件</t>
    <phoneticPr fontId="1" type="noConversion"/>
  </si>
  <si>
    <t>总计</t>
    <phoneticPr fontId="1" type="noConversion"/>
  </si>
  <si>
    <t>算力服务器硬件</t>
    <phoneticPr fontId="1" type="noConversion"/>
  </si>
  <si>
    <t xml:space="preserve">CPU：Intel 至强CPU 6338 x 2  （6338， 32核心64线程）                
内存：768GB；
系统盘：960G x2 企业级 SATA SSD；      
数据盘：3.84T x2  企业级 U.2 SSD
GPU：8* NVIDIA L20 48G；                
网口：2口千兆电口 + 2口万兆电口/光口
电源：2+2冗余电源    3000-4000w
</t>
    <phoneticPr fontId="1" type="noConversion"/>
  </si>
  <si>
    <t>单台满足64人</t>
    <phoneticPr fontId="1" type="noConversion"/>
  </si>
  <si>
    <t>说明</t>
    <phoneticPr fontId="1" type="noConversion"/>
  </si>
  <si>
    <t>计算节点实验场景并发授权，每个授权包括4个用户并发，每个用户可以并发启动一个实验场景；满足100人并发使用。</t>
    <phoneticPr fontId="1" type="noConversion"/>
  </si>
  <si>
    <t>规格型号描述</t>
  </si>
  <si>
    <t>单位</t>
  </si>
  <si>
    <r>
      <t>AI</t>
    </r>
    <r>
      <rPr>
        <sz val="10"/>
        <rFont val="Microsoft YaHei"/>
        <family val="2"/>
        <charset val="134"/>
      </rPr>
      <t>实验室平台（智能体实训）</t>
    </r>
    <r>
      <rPr>
        <sz val="11"/>
        <color theme="1"/>
        <rFont val="等线"/>
        <family val="2"/>
        <scheme val="minor"/>
      </rPr>
      <t xml:space="preserve">- </t>
    </r>
    <r>
      <rPr>
        <sz val="10"/>
        <rFont val="微软雅黑"/>
        <family val="2"/>
        <charset val="134"/>
      </rPr>
      <t>管理模块</t>
    </r>
    <phoneticPr fontId="4" type="noConversion"/>
  </si>
  <si>
    <t>系统软件</t>
  </si>
  <si>
    <t>管理模块-规格型号描述
1、面向高校、职业院校、企业培训及行业客户，提供50用户并发授权的课程学习、项目实训、能力训练、成果沉淀和教学运营管理等功能，围绕“学、练、测、评”组织智能体应用开发实训过程，支持课程教学、项目实践、能力考核、认证培养和成果展示。
2、提供课程学习与课程配置模块，支持课程筛选搜索、课程详情展示、课时学习、学习阶段配置、课程难度配置和课程方向配置；支持查看课程讲义、实验背景、实验目的、实验环境、实验原理和操作要求。课程内容涵盖人工智能与AIGC应用、提示词应用、智能体应用开发、RAG、多智能体、MCP工具开发、Skill设计与开发、智能体安全与合规、智能体评估与测试、人工智能系统部署与运维等方向。
3、提供实验训练模块，支持实验文档、实验任务和操作说明查看，支持围绕课程内容开展理论学习、实验操作和阶段性训练；支持知识库构建、文档解析、向量检索、提示词设计、对话流程设计、工具调用、工作流编排、MCP服务开发、Skill能力封装、权限控制、日志审计、应用测试和部署运维等训练内容。
4、提供项目实训模块，支持项目创建、项目实例管理、项目背景展示、技术架构说明、核心功能说明、项目准备和操作说明，支持从课程学习、实验训练到项目实践的闭环训练；支撑知识库问答、业务流程自动化、工具调用、智能体编排、多智能体协作、系统集成、效果评测和成果发布等实训任务。
5、提供资源内容模块，支持课程讲义、实验文档、实验任务、项目实例、项目案例、综合实践资源和企业运营、营销销售、客户服务、财务法务、数据知识管理、研发运维、信息安全等方向的行业实训案例查看、使用和关联；支持将资源内容用于课程学习、实验训练和项目实训。
6、提供后台管理模块，支持账号管理、组织管理、班级管理、课程管理、资源管理、系统设置等功能，满足教学组织、实训运营、过程管理和持续运营需求。</t>
    <phoneticPr fontId="4" type="noConversion"/>
  </si>
  <si>
    <t>套</t>
  </si>
  <si>
    <t>1</t>
  </si>
  <si>
    <t>AI实验室平台（智能体实训）- 智能体底座</t>
    <phoneticPr fontId="4" type="noConversion"/>
  </si>
  <si>
    <r>
      <rPr>
        <sz val="10"/>
        <rFont val="微软雅黑"/>
        <family val="2"/>
        <charset val="134"/>
      </rPr>
      <t>智能体底座 -规格型号描述</t>
    </r>
    <r>
      <rPr>
        <sz val="11"/>
        <color theme="1"/>
        <rFont val="等线"/>
        <family val="2"/>
        <scheme val="minor"/>
      </rPr>
      <t xml:space="preserve">
1</t>
    </r>
    <r>
      <rPr>
        <sz val="10"/>
        <rFont val="Microsoft YaHei"/>
        <family val="2"/>
        <charset val="134"/>
      </rPr>
      <t>、用于为智能体应用开发、运行和实训提供统一技术支撑，支持模型服务、知识资源、工具资源、智能体运行、任务调用和系统配置管理，为上层课程教学、项目训练和智能体应用提供基础能力支撑。</t>
    </r>
    <r>
      <rPr>
        <sz val="11"/>
        <color theme="1"/>
        <rFont val="等线"/>
        <family val="2"/>
        <scheme val="minor"/>
      </rPr>
      <t xml:space="preserve">
2</t>
    </r>
    <r>
      <rPr>
        <sz val="10"/>
        <rFont val="Microsoft YaHei"/>
        <family val="2"/>
        <charset val="134"/>
      </rPr>
      <t>、支持知识库、</t>
    </r>
    <r>
      <rPr>
        <sz val="11"/>
        <color theme="1"/>
        <rFont val="等线"/>
        <family val="2"/>
        <scheme val="minor"/>
      </rPr>
      <t>MCP</t>
    </r>
    <r>
      <rPr>
        <sz val="10"/>
        <rFont val="Microsoft YaHei"/>
        <family val="2"/>
        <charset val="134"/>
      </rPr>
      <t>工具和插件资源统一接入与管理，支持智能体在任务执行过程中调用知识库和外部工具资源，支持按类型、状态和关键字对</t>
    </r>
    <r>
      <rPr>
        <sz val="11"/>
        <color theme="1"/>
        <rFont val="等线"/>
        <family val="2"/>
        <scheme val="minor"/>
      </rPr>
      <t>MCP</t>
    </r>
    <r>
      <rPr>
        <sz val="10"/>
        <rFont val="Microsoft YaHei"/>
        <family val="2"/>
        <charset val="134"/>
      </rPr>
      <t>服务进行筛选和管理，满足智能体与外部系统协同工作的需求。</t>
    </r>
    <r>
      <rPr>
        <sz val="11"/>
        <color theme="1"/>
        <rFont val="等线"/>
        <family val="2"/>
        <scheme val="minor"/>
      </rPr>
      <t xml:space="preserve">
3</t>
    </r>
    <r>
      <rPr>
        <sz val="10"/>
        <rFont val="Microsoft YaHei"/>
        <family val="2"/>
        <charset val="134"/>
      </rPr>
      <t>、支持推理智能体、超级智能体、</t>
    </r>
    <r>
      <rPr>
        <sz val="11"/>
        <color theme="1"/>
        <rFont val="等线"/>
        <family val="2"/>
        <scheme val="minor"/>
      </rPr>
      <t>GUI</t>
    </r>
    <r>
      <rPr>
        <sz val="10"/>
        <rFont val="Microsoft YaHei"/>
        <family val="2"/>
        <charset val="134"/>
      </rPr>
      <t>智能应用、多智能体蜂群和异构智能体等能力形态。
4、支持私有化部署、权限控制、</t>
    </r>
    <r>
      <rPr>
        <sz val="11"/>
        <color theme="1"/>
        <rFont val="等线"/>
        <family val="2"/>
        <scheme val="minor"/>
      </rPr>
      <t>API-Key</t>
    </r>
    <r>
      <rPr>
        <sz val="10"/>
        <rFont val="Microsoft YaHei"/>
        <family val="2"/>
        <charset val="134"/>
      </rPr>
      <t>管理、系统设置、模型接入、分类标签管理和安全审计等功能</t>
    </r>
    <r>
      <rPr>
        <sz val="10"/>
        <rFont val="Arial"/>
        <family val="2"/>
        <charset val="134"/>
      </rPr>
      <t xml:space="preserve">
5</t>
    </r>
    <r>
      <rPr>
        <sz val="10"/>
        <rFont val="Microsoft YaHei"/>
        <family val="2"/>
        <charset val="134"/>
      </rPr>
      <t>、支持</t>
    </r>
    <r>
      <rPr>
        <sz val="10"/>
        <rFont val="Arial"/>
        <family val="2"/>
        <charset val="134"/>
      </rPr>
      <t>L2</t>
    </r>
    <r>
      <rPr>
        <sz val="10"/>
        <rFont val="Microsoft YaHei"/>
        <family val="2"/>
        <charset val="134"/>
      </rPr>
      <t>级</t>
    </r>
    <r>
      <rPr>
        <sz val="10"/>
        <rFont val="Arial"/>
        <family val="2"/>
        <charset val="134"/>
      </rPr>
      <t>WorkFlow</t>
    </r>
    <r>
      <rPr>
        <sz val="10"/>
        <rFont val="Microsoft YaHei"/>
        <family val="2"/>
        <charset val="134"/>
      </rPr>
      <t>、</t>
    </r>
    <r>
      <rPr>
        <sz val="10"/>
        <rFont val="Arial"/>
        <family val="2"/>
        <charset val="134"/>
      </rPr>
      <t>L3</t>
    </r>
    <r>
      <rPr>
        <sz val="10"/>
        <rFont val="Microsoft YaHei"/>
        <family val="2"/>
        <charset val="134"/>
      </rPr>
      <t>级推理智能体，</t>
    </r>
    <r>
      <rPr>
        <sz val="10"/>
        <rFont val="Arial"/>
        <family val="2"/>
        <charset val="134"/>
      </rPr>
      <t>L4</t>
    </r>
    <r>
      <rPr>
        <sz val="10"/>
        <rFont val="Microsoft YaHei"/>
        <family val="2"/>
        <charset val="134"/>
      </rPr>
      <t>级多智能体蜂群构建，零代码</t>
    </r>
    <r>
      <rPr>
        <sz val="10"/>
        <rFont val="Arial"/>
        <family val="2"/>
        <charset val="134"/>
      </rPr>
      <t>GUI</t>
    </r>
    <r>
      <rPr>
        <sz val="10"/>
        <rFont val="Microsoft YaHei"/>
        <family val="2"/>
        <charset val="134"/>
      </rPr>
      <t>智能应用搭建平台，异构智能体注册管理、</t>
    </r>
    <r>
      <rPr>
        <sz val="10"/>
        <rFont val="Arial"/>
        <family val="2"/>
        <charset val="134"/>
      </rPr>
      <t>MCP</t>
    </r>
    <r>
      <rPr>
        <sz val="10"/>
        <rFont val="Microsoft YaHei"/>
        <family val="2"/>
        <charset val="134"/>
      </rPr>
      <t>工具管理、智能体评测、知识库、提示词，智能体广场、超级智能体、工作记录，智能体广场、超级智能体、工作记录等</t>
    </r>
    <phoneticPr fontId="4" type="noConversion"/>
  </si>
  <si>
    <t>1</t>
    <phoneticPr fontId="4" type="noConversion"/>
  </si>
  <si>
    <r>
      <t>AI</t>
    </r>
    <r>
      <rPr>
        <sz val="10"/>
        <rFont val="Microsoft YaHei"/>
        <family val="2"/>
        <charset val="134"/>
      </rPr>
      <t>实验室平台（智能体实训）- 课程、项目资源包</t>
    </r>
    <phoneticPr fontId="4" type="noConversion"/>
  </si>
  <si>
    <t>系统软件</t>
    <phoneticPr fontId="4" type="noConversion"/>
  </si>
  <si>
    <t>课程、项目资源包-规格型号描述
1、提供10门课程资源，包括人工智能入门应用课程、智能体开发工程师认证课程和专题实践课程；
2、《纳米Work课程》涵盖AIGC应用、提示词设计、纳米Work实用操作、办公提效、内容创作和常见岗位应用，并延伸至单智能体和多智能体应用；《智能体开发工程师认证初级》涵盖智能体平台操作、智能体搭建、基础RAG知识库接入、MCP工具使用、对话流程设计和基础测试；《智能体开发工程师认证中级》涵盖复杂智能体架构、代码增强、RAG优化、Skill与MCP开发和智能体评估。
3、《RAG系统技术与应用》涵盖企业知识库构建、文档解析与结构化处理、向量化建模、向量数据库应用、混合检索、重排序、RAG系统评估、知识增强型Agent、深度RAG、Agentic RAG和GraphRAG；《多智能体系统设计与应用》涵盖角色分工、任务协作、规划调度、上下文管理、可靠性控制和多智能体蜂群应用搭建。
4、《智能体工具与MCP开发实践》涵盖工具调用、函数调用、MCP协议、MCP Server开发、工具接口设计、参数Schema定义、调用链路、执行控制、异常处理、权限安全、外部环境部署、平台接入和调用调试；《智能体Skill设计与开发实践》涵盖Skill结构设计、任务边界定义、提示词编写、脚本集成、资源引用、输入输出约定和测试优化。
5、《智能体安全与合规应用实践》涵盖提示词攻击、敏感信息泄露、知识库污染、工具越权、内容合规、权限控制、人工确认和日志审计；《智能体评估与测试实践》涵盖测试集构建、运行调试、失败归因、任务完成率、回答准确性、工具调用正确率、检索质量、响应时延、成本及稳定性评估；《人工智能系统部署与运维》涵盖服务封装、接口配置、容器化部署、运行日志、性能监控、故障排查、版本更新和持续维护。
6、提供课程讲义、实验文档、实验背景、实验目的、实验环境、实验原理、操作说明和训练任务等课程资源，以及项目实例、项目背景、技术架构、核心功能、项目准备、操作说明和项目实践要求等项目资源。
7、提供知识库问答、工具调用、智能体编排、效果评测和成果发布等综合实训内容，并提供企业运营、营销销售、客户服务、财务法务、数据知识管理、研发运维和信息安全等业务方向的智能体实训案例，支撑学员开展需求分析、流程设计、系统搭建、测试优化和落地实践。</t>
    <phoneticPr fontId="4" type="noConversion"/>
  </si>
  <si>
    <r>
      <t>AI</t>
    </r>
    <r>
      <rPr>
        <sz val="10"/>
        <rFont val="Microsoft YaHei"/>
        <family val="2"/>
        <charset val="134"/>
      </rPr>
      <t>实验室平台（智能体实训）</t>
    </r>
    <r>
      <rPr>
        <sz val="11"/>
        <color theme="1"/>
        <rFont val="等线"/>
        <family val="2"/>
        <scheme val="minor"/>
      </rPr>
      <t xml:space="preserve">- </t>
    </r>
    <r>
      <rPr>
        <sz val="10"/>
        <rFont val="Microsoft YaHei"/>
        <family val="2"/>
        <charset val="134"/>
      </rPr>
      <t>并发授权</t>
    </r>
    <phoneticPr fontId="4" type="noConversion"/>
  </si>
  <si>
    <t>性能授权</t>
  </si>
  <si>
    <t>用户授权按每个授权包含10人并发使用进行配置</t>
    <phoneticPr fontId="4" type="noConversion"/>
  </si>
  <si>
    <t>个</t>
  </si>
  <si>
    <t>属性</t>
    <phoneticPr fontId="4" type="noConversion"/>
  </si>
  <si>
    <t>说明</t>
    <phoneticPr fontId="1" type="noConversion"/>
  </si>
  <si>
    <t>计算服务器</t>
    <phoneticPr fontId="1" type="noConversion"/>
  </si>
  <si>
    <t>大模型推理服务器</t>
    <phoneticPr fontId="1" type="noConversion"/>
  </si>
  <si>
    <t>单台满足50人</t>
    <phoneticPr fontId="1" type="noConversion"/>
  </si>
  <si>
    <t>部署大模型，可客户自己提供</t>
    <phoneticPr fontId="1" type="noConversion"/>
  </si>
  <si>
    <t>AI实验室平台（智能体实训</t>
    <phoneticPr fontId="1" type="noConversion"/>
  </si>
  <si>
    <t>4U机架式GPU服务器
CPU：Intel 至强CPU 6338 x 2
内存：512GB; 
系统盘：960G x2 企业级 SATA SSD
数据盘：3.84T x2  企业级 U.2 SSD
GPU：8* NVIDIA L20 48G； 
网口：2口千兆电口 + 2口万兆光口
电源：冗余电源</t>
    <phoneticPr fontId="1" type="noConversion"/>
  </si>
  <si>
    <t>360网络攻防训练平台</t>
    <phoneticPr fontId="1" type="noConversion"/>
  </si>
  <si>
    <t>硬件</t>
    <phoneticPr fontId="1" type="noConversion"/>
  </si>
  <si>
    <t>360网络攻防训练平台V2.0-管理计算主机
规格：2U机架式，配导轨套件；
CPU：2颗Intel 至强CPU，每颗CPU不少于16核；
内存：32GB*8 DDR4 REEC，基于后期扩展，最大支持≥8根内存插槽；
硬盘：3.84T NVME U.2 2.5寸SSD + 4T企业级SATA硬盘；
网络接口：配置四口千兆以太网控制器；
电源：配置800W交流冗余电源；</t>
    <phoneticPr fontId="1" type="noConversion"/>
  </si>
  <si>
    <t>360网络攻防训练平台V2.0-管理计算系统
1、提供用户访问后台系统资源的接口，包括资源统计、用户管理、资源管理、运维管理、系统管理等功能。
2、动态调度管理模块支持KVM、Docker、SDN等技术，实时检测虚拟资源的状态，提供对集群设备的资源使用情况的监控和调用、用户身份验证、虚拟化资源的调用。
3、负责与管理模块之间的信息进行通信，与计算集群实时共享虚拟资源，能够实时监测本节点虚拟实例状态。
4、内置资源动态调配机制，支持虚拟机、容器、虚拟化网络的的动态挂载。轮询算法，支持最优算法测算及选择。
5、支持闲置资源的释放，能够实时动态释放断开连接的虚拟机、容器、虚拟网络所占用的资源。
6、平台资源统计展示，包括课程统计、训练统计、场景统计、靶标统计、用户数量等。
7、用户管理包括账号管理、权限管理、组织管理、班级管理等。
8、教学管理包括教学看板、教学计划、课表管理等。
9、资源管理包括课程管理、训练管理、试卷管理、靶机管理、场景管理。
10、虚实结合功能。可选功能模块，包括实装管理、虚实结合控制器管理、综合实验菜单功能。
11、运维管理包括实例运维、登录日志、操作记录日志等。
12、系统管理包括系统设置、网络管理、集群管理、分类管理、实例配置。
13、每套计算系统软件可提供20用户并发，最高并发40个虚拟实例。
14、课程中心提供海量学习内容，每门课程包括课程讲义、实验环境、实验要求、实验指导、课后练习等内容。
15、提供安全意识、信息科学技术基础、网络安全、系统安全、web安全、密码学、信息内容安全、安全工具、渗透测试、实战靶场、CTF知识学习、代码审计、安全运维、数据库安全、内网安全、逆向分析、区块链安全、人工智能安全、无线安全、移动安全等方向的课程。
16、技能训练模块支持CTF训练、实战训练、专项训练，内容按难易程度分为初级、中级、高级三个级别，提供170+个训练题目。
17、知识训练：教师可以新建知识训练题目，包括单选、多选、判断、填空等类型，通过不同类型的知识训练，让学生迅速掌握该方向的课程。提供1000个题目。
18、能力考核：支持题目管理、试卷管理、考核管理功能，用于检验学员的安全理论基础知识和相关法律法规掌握能力。提供4200+个题目。</t>
    <phoneticPr fontId="1" type="noConversion"/>
  </si>
  <si>
    <t>10人并发授权</t>
    <phoneticPr fontId="1" type="noConversion"/>
  </si>
  <si>
    <t>2U机架式服务器
CPU：Intel 至强 4310 x 1；                   
内存：128GB；                   
硬盘：4*1.92T 企业级 SATA SSD；        
RAID卡：LSI MegaRAID SAS 9361 8i 2G；
网口：千兆电口 x2；              
电源：1+1冗余电源；</t>
    <phoneticPr fontId="1" type="noConversion"/>
  </si>
  <si>
    <t>2U机架式GPU服务器
CPU：Intel 至强CPU 5318Y x 2               
内存：256GB；
系统盘：960G x2 企业级 SATA SSD；     
数据盘：3.84T x2  企业级 U.2 SSD
GPU：1* NVIDIA L20 48G；                
网口：2口千兆电口 + 2口万兆电口/光口
电源：1+1冗余电源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</si>
</sst>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等线"/>
      <family val="2"/>
      <scheme val="minor"/>
    </font>
    <font>
      <sz val="9"/>
      <name val="等线"/>
      <family val="3"/>
      <charset val="134"/>
      <scheme val="minor"/>
    </font>
    <font>
      <b/>
      <sz val="11"/>
      <color theme="1"/>
      <name val="等线"/>
      <family val="3"/>
      <charset val="134"/>
      <scheme val="minor"/>
    </font>
    <font>
      <sz val="10"/>
      <name val="微软雅黑"/>
      <family val="2"/>
      <charset val="134"/>
    </font>
    <font>
      <sz val="9"/>
      <name val="FangSong"/>
      <family val="3"/>
      <charset val="134"/>
    </font>
    <font>
      <sz val="10"/>
      <name val="Microsoft YaHei"/>
      <family val="2"/>
      <charset val="134"/>
    </font>
    <font>
      <sz val="10"/>
      <name val="Arial"/>
      <family val="2"/>
    </font>
    <font>
      <sz val="10"/>
      <name val="Arial"/>
      <family val="2"/>
      <charset val="134"/>
    </font>
    <font>
      <b/>
      <sz val="11"/>
      <color theme="1"/>
      <name val="等线"/>
      <family val="2"/>
      <scheme val="minor"/>
    </font>
    <font>
      <b/>
      <sz val="10"/>
      <name val="微软雅黑"/>
      <family val="2"/>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0" borderId="1" xfId="0" applyBorder="1" applyAlignment="1">
      <alignment horizontal="left" vertical="center" wrapText="1"/>
    </xf>
    <xf numFmtId="0" fontId="0" fillId="0" borderId="1" xfId="0" applyBorder="1"/>
    <xf numFmtId="0" fontId="0" fillId="0" borderId="1" xfId="0" applyBorder="1" applyAlignment="1">
      <alignment wrapText="1"/>
    </xf>
    <xf numFmtId="0" fontId="2" fillId="0" borderId="1" xfId="0" applyFont="1" applyBorder="1" applyAlignment="1">
      <alignment horizontal="center" wrapText="1"/>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2" fillId="0" borderId="2" xfId="0" applyFont="1" applyFill="1" applyBorder="1" applyAlignment="1">
      <alignment horizontal="center" wrapText="1"/>
    </xf>
    <xf numFmtId="0" fontId="0" fillId="0" borderId="0" xfId="0" applyAlignment="1">
      <alignment horizontal="left" vertical="center"/>
    </xf>
    <xf numFmtId="0" fontId="8" fillId="0" borderId="0" xfId="0" applyFont="1"/>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left" vertical="top" wrapText="1"/>
    </xf>
    <xf numFmtId="0" fontId="6"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center" vertical="center" wrapText="1"/>
    </xf>
    <xf numFmtId="49" fontId="7" fillId="0" borderId="1" xfId="0" applyNumberFormat="1" applyFont="1" applyBorder="1" applyAlignment="1">
      <alignment horizontal="left" vertical="center" wrapText="1"/>
    </xf>
    <xf numFmtId="49" fontId="6"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1" xfId="0" applyNumberFormat="1" applyFont="1" applyBorder="1" applyAlignment="1">
      <alignment horizontal="left" vertical="center" wrapText="1"/>
    </xf>
    <xf numFmtId="0" fontId="0" fillId="0" borderId="1" xfId="0" applyBorder="1" applyAlignment="1">
      <alignment horizontal="center" vertical="center" wrapText="1"/>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1" xfId="0" applyNumberForma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C4" sqref="C4"/>
    </sheetView>
  </sheetViews>
  <sheetFormatPr defaultRowHeight="14"/>
  <cols>
    <col min="3" max="3" width="86.58203125" customWidth="1"/>
  </cols>
  <sheetData>
    <row r="1" spans="1:7">
      <c r="A1" s="4" t="s">
        <v>0</v>
      </c>
      <c r="B1" s="4" t="s">
        <v>1</v>
      </c>
      <c r="C1" s="4" t="s">
        <v>3</v>
      </c>
      <c r="D1" s="4" t="s">
        <v>4</v>
      </c>
      <c r="E1" s="4" t="s">
        <v>7</v>
      </c>
      <c r="F1" s="4" t="s">
        <v>8</v>
      </c>
      <c r="G1" s="4" t="s">
        <v>9</v>
      </c>
    </row>
    <row r="2" spans="1:7" ht="98">
      <c r="A2" s="26" t="s">
        <v>47</v>
      </c>
      <c r="B2" s="22" t="s">
        <v>48</v>
      </c>
      <c r="C2" s="1" t="s">
        <v>49</v>
      </c>
      <c r="D2" s="22" t="s">
        <v>5</v>
      </c>
      <c r="E2" s="22">
        <v>5</v>
      </c>
      <c r="F2" s="22">
        <v>88000</v>
      </c>
      <c r="G2" s="22">
        <f>F2*E2</f>
        <v>440000</v>
      </c>
    </row>
    <row r="3" spans="1:7" ht="406">
      <c r="A3" s="27"/>
      <c r="B3" s="30" t="s">
        <v>2</v>
      </c>
      <c r="C3" s="3" t="s">
        <v>50</v>
      </c>
      <c r="D3" s="22" t="s">
        <v>6</v>
      </c>
      <c r="E3" s="22">
        <v>1</v>
      </c>
      <c r="F3" s="22">
        <v>526000</v>
      </c>
      <c r="G3" s="22">
        <f>F3*E3</f>
        <v>526000</v>
      </c>
    </row>
    <row r="4" spans="1:7">
      <c r="A4" s="27"/>
      <c r="B4" s="3" t="s">
        <v>12</v>
      </c>
      <c r="C4" s="3" t="s">
        <v>51</v>
      </c>
      <c r="D4" s="22" t="s">
        <v>6</v>
      </c>
      <c r="E4" s="22">
        <v>10</v>
      </c>
      <c r="F4" s="22">
        <v>40000</v>
      </c>
      <c r="G4" s="22">
        <f>F4*E4</f>
        <v>400000</v>
      </c>
    </row>
    <row r="5" spans="1:7">
      <c r="A5" s="28"/>
      <c r="B5" s="30" t="s">
        <v>16</v>
      </c>
      <c r="C5" s="31"/>
      <c r="D5" s="32"/>
      <c r="E5" s="32"/>
      <c r="F5" s="33"/>
      <c r="G5" s="3">
        <f>SUM(G2:G4)</f>
        <v>1366000</v>
      </c>
    </row>
  </sheetData>
  <mergeCells count="2">
    <mergeCell ref="A2:A5"/>
    <mergeCell ref="C5:F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tabSelected="1" zoomScale="73" zoomScaleNormal="100" workbookViewId="0">
      <selection activeCell="C4" sqref="C4"/>
    </sheetView>
  </sheetViews>
  <sheetFormatPr defaultRowHeight="14"/>
  <cols>
    <col min="1" max="1" width="24.6640625" customWidth="1"/>
    <col min="2" max="2" width="8.5" bestFit="1" customWidth="1"/>
    <col min="3" max="3" width="109.58203125" customWidth="1"/>
  </cols>
  <sheetData>
    <row r="1" spans="1:8">
      <c r="A1" s="4" t="s">
        <v>0</v>
      </c>
      <c r="B1" s="4" t="s">
        <v>1</v>
      </c>
      <c r="C1" s="4" t="s">
        <v>3</v>
      </c>
      <c r="D1" s="4" t="s">
        <v>4</v>
      </c>
      <c r="E1" s="4" t="s">
        <v>7</v>
      </c>
      <c r="F1" s="4" t="s">
        <v>8</v>
      </c>
      <c r="G1" s="4" t="s">
        <v>9</v>
      </c>
      <c r="H1" s="7" t="s">
        <v>20</v>
      </c>
    </row>
    <row r="2" spans="1:8" ht="140">
      <c r="A2" s="26" t="s">
        <v>13</v>
      </c>
      <c r="B2" s="5" t="s">
        <v>15</v>
      </c>
      <c r="C2" s="1" t="s">
        <v>10</v>
      </c>
      <c r="D2" s="5" t="s">
        <v>5</v>
      </c>
      <c r="E2" s="5">
        <v>1</v>
      </c>
      <c r="F2" s="5">
        <v>70000</v>
      </c>
      <c r="G2" s="5">
        <f>F2*E2</f>
        <v>70000</v>
      </c>
    </row>
    <row r="3" spans="1:8" ht="112">
      <c r="A3" s="27"/>
      <c r="B3" s="5" t="s">
        <v>17</v>
      </c>
      <c r="C3" s="3" t="s">
        <v>18</v>
      </c>
      <c r="D3" s="5" t="s">
        <v>5</v>
      </c>
      <c r="E3" s="5">
        <v>2</v>
      </c>
      <c r="F3" s="5">
        <v>400000</v>
      </c>
      <c r="G3" s="5">
        <f>F3*E3</f>
        <v>800000</v>
      </c>
      <c r="H3" s="8" t="s">
        <v>19</v>
      </c>
    </row>
    <row r="4" spans="1:8" ht="308">
      <c r="A4" s="27"/>
      <c r="B4" s="5" t="s">
        <v>2</v>
      </c>
      <c r="C4" s="3" t="s">
        <v>11</v>
      </c>
      <c r="D4" s="5" t="s">
        <v>6</v>
      </c>
      <c r="E4" s="5">
        <v>1</v>
      </c>
      <c r="F4" s="5">
        <v>561600</v>
      </c>
      <c r="G4" s="5">
        <f>F4*E4</f>
        <v>561600</v>
      </c>
    </row>
    <row r="5" spans="1:8">
      <c r="A5" s="27"/>
      <c r="B5" s="2" t="s">
        <v>12</v>
      </c>
      <c r="C5" s="2" t="s">
        <v>21</v>
      </c>
      <c r="D5" s="6" t="s">
        <v>14</v>
      </c>
      <c r="E5" s="6">
        <v>25</v>
      </c>
      <c r="F5" s="6">
        <v>40000</v>
      </c>
      <c r="G5" s="5">
        <f>F5*E5</f>
        <v>1000000</v>
      </c>
    </row>
    <row r="6" spans="1:8">
      <c r="A6" s="28"/>
      <c r="B6" s="2" t="s">
        <v>16</v>
      </c>
      <c r="C6" s="23"/>
      <c r="D6" s="24"/>
      <c r="E6" s="24"/>
      <c r="F6" s="25"/>
      <c r="G6" s="6">
        <f>SUM(G2:G5)</f>
        <v>2431600</v>
      </c>
    </row>
  </sheetData>
  <mergeCells count="2">
    <mergeCell ref="C6:F6"/>
    <mergeCell ref="A2:A6"/>
  </mergeCells>
  <phoneticPr fontId="1" type="noConversion"/>
  <pageMargins left="0.7" right="0.7" top="0.75" bottom="0.75" header="0.3" footer="0.3"/>
  <pageSetup paperSize="9" orientation="portrait" horizontalDpi="4294967294"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8576"/>
  <sheetViews>
    <sheetView topLeftCell="A7" workbookViewId="0">
      <selection activeCell="C12" sqref="C12"/>
    </sheetView>
  </sheetViews>
  <sheetFormatPr defaultRowHeight="14"/>
  <cols>
    <col min="3" max="3" width="67.08203125" customWidth="1"/>
  </cols>
  <sheetData>
    <row r="1" spans="1:8" s="9" customFormat="1" ht="14.5">
      <c r="A1" s="10" t="s">
        <v>0</v>
      </c>
      <c r="B1" s="11" t="s">
        <v>39</v>
      </c>
      <c r="C1" s="10" t="s">
        <v>22</v>
      </c>
      <c r="D1" s="10" t="s">
        <v>23</v>
      </c>
      <c r="E1" s="10" t="s">
        <v>7</v>
      </c>
      <c r="F1" s="10" t="s">
        <v>8</v>
      </c>
      <c r="G1" s="10" t="s">
        <v>9</v>
      </c>
      <c r="H1" s="10" t="s">
        <v>40</v>
      </c>
    </row>
    <row r="2" spans="1:8" ht="98">
      <c r="A2" s="29" t="s">
        <v>45</v>
      </c>
      <c r="B2" s="12" t="s">
        <v>15</v>
      </c>
      <c r="C2" s="13" t="s">
        <v>52</v>
      </c>
      <c r="D2" s="5" t="s">
        <v>5</v>
      </c>
      <c r="E2" s="5">
        <v>1</v>
      </c>
      <c r="F2" s="14">
        <v>70000</v>
      </c>
      <c r="G2" s="14">
        <v>70000</v>
      </c>
      <c r="H2" s="5"/>
    </row>
    <row r="3" spans="1:8" ht="112">
      <c r="A3" s="29"/>
      <c r="B3" s="12" t="s">
        <v>41</v>
      </c>
      <c r="C3" s="1" t="s">
        <v>53</v>
      </c>
      <c r="D3" s="5" t="s">
        <v>5</v>
      </c>
      <c r="E3" s="5">
        <v>2</v>
      </c>
      <c r="F3" s="14">
        <v>250000</v>
      </c>
      <c r="G3" s="14">
        <v>500000</v>
      </c>
      <c r="H3" s="5" t="s">
        <v>43</v>
      </c>
    </row>
    <row r="4" spans="1:8" ht="112">
      <c r="A4" s="29"/>
      <c r="B4" s="12" t="s">
        <v>42</v>
      </c>
      <c r="C4" s="1" t="s">
        <v>46</v>
      </c>
      <c r="D4" s="5" t="s">
        <v>5</v>
      </c>
      <c r="E4" s="5">
        <v>1</v>
      </c>
      <c r="F4" s="14">
        <v>380000</v>
      </c>
      <c r="G4" s="14">
        <v>380000</v>
      </c>
      <c r="H4" s="5" t="s">
        <v>44</v>
      </c>
    </row>
    <row r="5" spans="1:8" ht="362.5">
      <c r="A5" s="15" t="s">
        <v>24</v>
      </c>
      <c r="B5" s="15" t="s">
        <v>25</v>
      </c>
      <c r="C5" s="16" t="s">
        <v>26</v>
      </c>
      <c r="D5" s="15" t="s">
        <v>27</v>
      </c>
      <c r="E5" s="15" t="s">
        <v>28</v>
      </c>
      <c r="F5" s="14">
        <v>296000</v>
      </c>
      <c r="G5" s="14">
        <v>296000</v>
      </c>
      <c r="H5" s="2"/>
    </row>
    <row r="6" spans="1:8" ht="221.5">
      <c r="A6" s="17" t="s">
        <v>29</v>
      </c>
      <c r="B6" s="15" t="s">
        <v>25</v>
      </c>
      <c r="C6" s="18" t="s">
        <v>30</v>
      </c>
      <c r="D6" s="15" t="s">
        <v>27</v>
      </c>
      <c r="E6" s="19" t="s">
        <v>31</v>
      </c>
      <c r="F6" s="14">
        <v>296000</v>
      </c>
      <c r="G6" s="14">
        <v>296000</v>
      </c>
      <c r="H6" s="2"/>
    </row>
    <row r="7" spans="1:8" ht="409.5">
      <c r="A7" s="15" t="s">
        <v>32</v>
      </c>
      <c r="B7" s="20" t="s">
        <v>33</v>
      </c>
      <c r="C7" s="21" t="s">
        <v>34</v>
      </c>
      <c r="D7" s="15" t="s">
        <v>27</v>
      </c>
      <c r="E7" s="19" t="s">
        <v>31</v>
      </c>
      <c r="F7" s="14">
        <v>568000</v>
      </c>
      <c r="G7" s="14">
        <v>568000</v>
      </c>
      <c r="H7" s="2"/>
    </row>
    <row r="8" spans="1:8" ht="73.5">
      <c r="A8" s="15" t="s">
        <v>35</v>
      </c>
      <c r="B8" s="15" t="s">
        <v>36</v>
      </c>
      <c r="C8" s="21" t="s">
        <v>37</v>
      </c>
      <c r="D8" s="15" t="s">
        <v>38</v>
      </c>
      <c r="E8" s="34">
        <v>10</v>
      </c>
      <c r="F8" s="14">
        <v>40000</v>
      </c>
      <c r="G8" s="14">
        <v>400000</v>
      </c>
      <c r="H8" s="2"/>
    </row>
    <row r="9" spans="1:8">
      <c r="A9" s="2"/>
      <c r="B9" s="2"/>
      <c r="C9" s="2"/>
      <c r="D9" s="2"/>
      <c r="E9" s="2"/>
      <c r="F9" s="2"/>
      <c r="G9" s="2">
        <f>SUM(G2:G8)</f>
        <v>2510000</v>
      </c>
      <c r="H9" s="2"/>
    </row>
    <row r="1048576" spans="7:7">
      <c r="G1048576">
        <f>SUM(G2:G1048575)</f>
        <v>5020000</v>
      </c>
    </row>
  </sheetData>
  <mergeCells count="1">
    <mergeCell ref="A2:A4"/>
  </mergeCells>
  <phoneticPr fontId="1" type="noConversion"/>
  <pageMargins left="0.7" right="0.7" top="0.75" bottom="0.75" header="0.3" footer="0.3"/>
  <pageSetup paperSize="9" orientation="portrait" horizontalDpi="4294967294"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网络攻防训练平台</vt:lpstr>
      <vt:lpstr>人工智能实训教育平台</vt:lpstr>
      <vt:lpstr>智能体实训平台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2026-08-28T07:00:52Z</dcterms:modified>
</cp:coreProperties>
</file>